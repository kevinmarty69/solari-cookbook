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d14032587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086e7e8dbd94267"/>
    <x:sheet xmlns:r="http://schemas.openxmlformats.org/officeDocument/2006/relationships" name="Success 2 of 2" sheetId="2" r:id="R4fabf389c6054773"/>
    <x:sheet xmlns:r="http://schemas.openxmlformats.org/officeDocument/2006/relationships" name="Exceptions 3 of 5" sheetId="3" r:id="R95442e77950341b4"/>
    <x:sheet xmlns:r="http://schemas.openxmlformats.org/officeDocument/2006/relationships" name="Invalid Total" sheetId="4" r:id="R341e6cfa40e84cb0"/>
    <x:sheet xmlns:r="http://schemas.openxmlformats.org/officeDocument/2006/relationships" name="Acceptance Checklist" sheetId="5" r:id="R0278cf430ac0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D6964"/>
      <x:name val="Carlito"/>
    </x:font>
    <x:font>
      <x:b/>
      <x:sz val="11"/>
      <x:color rgb="FF176B4D"/>
      <x:name val="Carlito"/>
    </x:font>
    <x:font>
      <x:b/>
      <x:sz val="11"/>
      <x:color rgb="FFFFFFFF"/>
      <x:name val="Carlito"/>
    </x:font>
    <x:font>
      <x:b/>
      <x:sz val="11"/>
      <x:color rgb="FFB423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15"/>
      </x:patternFill>
    </x:fill>
    <x:fill>
      <x:patternFill patternType="solid">
        <x:fgColor rgb="FFEDF1ED"/>
      </x:patternFill>
    </x:fill>
    <x:fill>
      <x:patternFill patternType="solid">
        <x:fgColor rgb="FFE9F7EF"/>
      </x:patternFill>
    </x:fill>
    <x:fill>
      <x:patternFill patternType="solid">
        <x:fgColor rgb="FF176B4D"/>
      </x:patternFill>
    </x:fill>
    <x:fill>
      <x:patternFill patternType="solid">
        <x:fgColor rgb="FFFFF0EE"/>
      </x:patternFill>
    </x:fill>
  </x:fills>
  <x:borders count="13">
    <x:border/>
    <x:border>
      <x:right style="thin">
        <x:color rgb="FFD8DED9"/>
      </x:right>
      <x:bottom style="thin">
        <x:color rgb="FFD8DED9"/>
      </x:bottom>
    </x:border>
    <x:border>
      <x:left style="thin">
        <x:color rgb="FFD8DED9"/>
      </x:left>
      <x:bottom style="thin">
        <x:color rgb="FFD8DED9"/>
      </x:bottom>
    </x:border>
    <x:border>
      <x:right style="thin">
        <x:color rgb="FFD8DED9"/>
      </x:right>
      <x:top style="thin">
        <x:color rgb="FFD8DED9"/>
      </x:top>
      <x:bottom style="thin">
        <x:color rgb="FFD8DED9"/>
      </x:bottom>
    </x:border>
    <x:border>
      <x:left style="thin">
        <x:color rgb="FFD8DED9"/>
      </x:left>
      <x:top style="thin">
        <x:color rgb="FFD8DED9"/>
      </x:top>
      <x:bottom style="thin">
        <x:color rgb="FFD8DED9"/>
      </x:bottom>
    </x:border>
    <x:border>
      <x:right style="thin">
        <x:color rgb="FFD8DED9"/>
      </x:right>
      <x:top style="thin">
        <x:color rgb="FFD8DED9"/>
      </x:top>
    </x:border>
    <x:border>
      <x:left style="thin">
        <x:color rgb="FFD8DED9"/>
      </x:left>
      <x:top style="thin">
        <x:color rgb="FFD8DED9"/>
      </x:top>
    </x:border>
    <x:border>
      <x:left style="thin">
        <x:color rgb="FFD8DED9"/>
      </x:left>
      <x:right style="thin">
        <x:color rgb="FFD8DED9"/>
      </x:right>
      <x:bottom style="thin">
        <x:color rgb="FFD8DED9"/>
      </x:bottom>
    </x:border>
    <x:border>
      <x:left style="thin">
        <x:color rgb="FFD8DED9"/>
      </x:left>
      <x:right style="thin">
        <x:color rgb="FFD8DED9"/>
      </x:right>
      <x:top style="thin">
        <x:color rgb="FFD8DED9"/>
      </x:top>
    </x:border>
    <x:border>
      <x:left style="thin">
        <x:color rgb="FFD8DED9"/>
      </x:left>
      <x:right style="thin">
        <x:color rgb="FFD8DED9"/>
      </x:right>
      <x:top style="thin">
        <x:color rgb="FFD8DED9"/>
      </x:top>
      <x:bottom style="thin">
        <x:color rgb="FFD8DED9"/>
      </x:bottom>
    </x:border>
    <x:border>
      <x:right style="thin">
        <x:color rgb="FFD8DED9"/>
      </x:right>
    </x:border>
    <x:border>
      <x:left style="thin">
        <x:color rgb="FFD8DED9"/>
      </x:left>
      <x:right style="thin">
        <x:color rgb="FFD8DED9"/>
      </x:right>
    </x:border>
    <x:border>
      <x:left style="thin">
        <x:color rgb="FFD8DED9"/>
      </x:left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1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1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200" fontId="0" fillId="6" borderId="11" xfId="0" applyNumberFormat="1" applyFont="1" applyFill="1" applyBorder="1"/>
    <x:xf numFmtId="201" fontId="0" fillId="6" borderId="11" xfId="0" applyNumberFormat="1" applyFont="1" applyFill="1" applyBorder="1"/>
    <x:xf numFmtId="201" fontId="0" fillId="6" borderId="12" xfId="0" applyNumberFormat="1" applyFont="1" applyFill="1" applyBorder="1"/>
    <x:xf numFmtId="201" fontId="5" fillId="6" borderId="1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76B4D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FF0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7977d8a8a42e8" /><Relationship Type="http://schemas.openxmlformats.org/officeDocument/2006/relationships/theme" Target="/xl/theme/theme1.xml" Id="R2ceed4ef064340f9" /><Relationship Type="http://schemas.openxmlformats.org/officeDocument/2006/relationships/sharedStrings" Target="/xl/sharedStrings.xml" Id="Rcd5ca3942e624411" /><Relationship Type="http://schemas.openxmlformats.org/officeDocument/2006/relationships/worksheet" Target="/xl/worksheets/sheet1.xml" Id="Rb086e7e8dbd94267" /><Relationship Type="http://schemas.openxmlformats.org/officeDocument/2006/relationships/worksheet" Target="/xl/worksheets/sheet2.xml" Id="R4fabf389c6054773" /><Relationship Type="http://schemas.openxmlformats.org/officeDocument/2006/relationships/worksheet" Target="/xl/worksheets/sheet3.xml" Id="R95442e77950341b4" /><Relationship Type="http://schemas.openxmlformats.org/officeDocument/2006/relationships/worksheet" Target="/xl/worksheets/sheet4.xml" Id="R341e6cfa40e84cb0" /><Relationship Type="http://schemas.openxmlformats.org/officeDocument/2006/relationships/worksheet" Target="/xl/worksheets/sheet5.xml" Id="R0278cf430ac04b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36" customHeight="1">
      <x:c r="A1" s="3" t="str">
        <x:v>DoneLedger Founder Test Pack</x:v>
      </x:c>
    </x:row>
    <x:row r="2" ht="30" customHeight="1">
      <x:c r="A2" s="7" t="str">
        <x:v>Zero-credit manual acceptance kit. The workbook is a tracker and reference; upload the linked CSV files, not this .xlsx file.</x:v>
      </x:c>
    </x:row>
    <x:row r="4" ht="36" customHeight="1">
      <x:c r="A4" s="16" t="str">
        <x:v>Public app</x:v>
      </x:c>
      <x:c r="B4" s="17" t="str">
        <x:v>https://elna-ungauged-puckishly.ngrok-free.dev/</x:v>
      </x:c>
    </x:row>
    <x:row r="5" ht="36" customHeight="1">
      <x:c r="A5" s="18" t="str">
        <x:v>Fast path</x:v>
      </x:c>
      <x:c r="B5" s="19" t="str">
        <x:v>Login → New Verification → download/upload CSV → Run Safe Fixture</x:v>
      </x:c>
    </x:row>
    <x:row r="6" ht="36" customHeight="1">
      <x:c r="A6" s="18" t="str">
        <x:v>Success file</x:v>
      </x:c>
      <x:c r="B6" s="19" t="str">
        <x:v>01-success-2-of-2.csv → expect 2 verified, 0 exceptions</x:v>
      </x:c>
    </x:row>
    <x:row r="7" ht="36" customHeight="1">
      <x:c r="A7" s="18" t="str">
        <x:v>Exception file</x:v>
      </x:c>
      <x:c r="B7" s="19" t="str">
        <x:v>02-exceptions-3-of-5.csv → expect 3 verified, 1 FIELD_MISMATCH, 1 RECORD_MISSING</x:v>
      </x:c>
    </x:row>
    <x:row r="8" ht="36" customHeight="1">
      <x:c r="A8" s="18" t="str">
        <x:v>Invalid total</x:v>
      </x:c>
      <x:c r="B8" s="19" t="str">
        <x:v>03-invalid-total.csv → reject before any run</x:v>
      </x:c>
    </x:row>
    <x:row r="9" ht="36" customHeight="1">
      <x:c r="A9" s="18" t="str">
        <x:v>Missing column</x:v>
      </x:c>
      <x:c r="B9" s="19" t="str">
        <x:v>04-missing-column.csv → reject before any run</x:v>
      </x:c>
    </x:row>
    <x:row r="10" ht="36" customHeight="1">
      <x:c r="A10" s="20" t="str">
        <x:v>Live mode</x:v>
      </x:c>
      <x:c r="B10" s="21" t="str">
        <x:v>Disabled on the public proof deployment. Do not spend Solari credits during ordinary review.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3" t="str">
        <x:v>Success 2 of 2</x:v>
      </x:c>
    </x:row>
    <x:row r="2" ht="30" customHeight="1">
      <x:c r="A2" s="7" t="str">
        <x:v>Reference rows matching 01-success-2-of-2.csv. Expected fixture result: 2/2 verified.</x:v>
      </x:c>
    </x:row>
    <x:row r="4" ht="28" customHeight="1">
      <x:c r="A4" s="24" t="str">
        <x:v>job_id</x:v>
      </x:c>
      <x:c r="B4" s="24" t="str">
        <x:v>supplier_id</x:v>
      </x:c>
      <x:c r="C4" s="24" t="str">
        <x:v>invoice_number</x:v>
      </x:c>
      <x:c r="D4" s="24" t="str">
        <x:v>issue_date</x:v>
      </x:c>
      <x:c r="E4" s="24" t="str">
        <x:v>due_date</x:v>
      </x:c>
      <x:c r="F4" s="24" t="str">
        <x:v>currency</x:v>
      </x:c>
      <x:c r="G4" s="24" t="str">
        <x:v>net</x:v>
      </x:c>
      <x:c r="H4" s="24" t="str">
        <x:v>tax</x:v>
      </x:c>
      <x:c r="I4" s="24" t="str">
        <x:v>gross</x:v>
      </x:c>
    </x:row>
    <x:row r="5" ht="25" customHeight="1">
      <x:c r="A5" s="27" t="str">
        <x:v>FOUNDER-OK-001</x:v>
      </x:c>
      <x:c r="B5" s="28" t="str">
        <x:v>SUP-ALPHA</x:v>
      </x:c>
      <x:c r="C5" s="28" t="str">
        <x:v>INV-ALPHA-001</x:v>
      </x:c>
      <x:c r="D5" s="29" t="n">
        <x:v>46266</x:v>
      </x:c>
      <x:c r="E5" s="29" t="n">
        <x:v>46295</x:v>
      </x:c>
      <x:c r="F5" s="28" t="str">
        <x:v>EUR</x:v>
      </x:c>
      <x:c r="G5" s="30" t="n">
        <x:v>100</x:v>
      </x:c>
      <x:c r="H5" s="30" t="n">
        <x:v>20</x:v>
      </x:c>
      <x:c r="I5" s="31" t="n">
        <x:f>G5+H5</x:f>
        <x:v>120</x:v>
      </x:c>
    </x:row>
    <x:row r="6" ht="25" customHeight="1">
      <x:c r="A6" s="32" t="str">
        <x:v>FOUNDER-OK-002</x:v>
      </x:c>
      <x:c r="B6" s="33" t="str">
        <x:v>SUP-BETA</x:v>
      </x:c>
      <x:c r="C6" s="33" t="str">
        <x:v>INV-BETA-002</x:v>
      </x:c>
      <x:c r="D6" s="34" t="n">
        <x:v>46267</x:v>
      </x:c>
      <x:c r="E6" s="34" t="n">
        <x:v>46297</x:v>
      </x:c>
      <x:c r="F6" s="33" t="str">
        <x:v>EUR</x:v>
      </x:c>
      <x:c r="G6" s="35" t="n">
        <x:v>250</x:v>
      </x:c>
      <x:c r="H6" s="35" t="n">
        <x:v>50</x:v>
      </x:c>
      <x:c r="I6" s="36" t="n">
        <x:f>G6+H6</x:f>
        <x:v>300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3" t="str">
        <x:v>Exceptions 3 of 5</x:v>
      </x:c>
    </x:row>
    <x:row r="2" ht="30" customHeight="1">
      <x:c r="A2" s="7" t="str">
        <x:v>Reference rows matching 02-exceptions-3-of-5.csv. Expected: 3 exact, 1 tax mismatch, 1 missing record.</x:v>
      </x:c>
    </x:row>
    <x:row r="4" ht="28" customHeight="1">
      <x:c r="A4" s="24" t="str">
        <x:v>job_id</x:v>
      </x:c>
      <x:c r="B4" s="24" t="str">
        <x:v>supplier_id</x:v>
      </x:c>
      <x:c r="C4" s="24" t="str">
        <x:v>invoice_number</x:v>
      </x:c>
      <x:c r="D4" s="24" t="str">
        <x:v>issue_date</x:v>
      </x:c>
      <x:c r="E4" s="24" t="str">
        <x:v>due_date</x:v>
      </x:c>
      <x:c r="F4" s="24" t="str">
        <x:v>currency</x:v>
      </x:c>
      <x:c r="G4" s="24" t="str">
        <x:v>net</x:v>
      </x:c>
      <x:c r="H4" s="24" t="str">
        <x:v>tax</x:v>
      </x:c>
      <x:c r="I4" s="24" t="str">
        <x:v>gross</x:v>
      </x:c>
    </x:row>
    <x:row r="5" ht="25" customHeight="1">
      <x:c r="A5" s="27" t="str">
        <x:v>FOUNDER-EX-001</x:v>
      </x:c>
      <x:c r="B5" s="28" t="str">
        <x:v>SUP-ALPHA</x:v>
      </x:c>
      <x:c r="C5" s="28" t="str">
        <x:v>INV-ALPHA-001</x:v>
      </x:c>
      <x:c r="D5" s="29" t="n">
        <x:v>46266</x:v>
      </x:c>
      <x:c r="E5" s="29" t="n">
        <x:v>46295</x:v>
      </x:c>
      <x:c r="F5" s="28" t="str">
        <x:v>EUR</x:v>
      </x:c>
      <x:c r="G5" s="30" t="n">
        <x:v>100</x:v>
      </x:c>
      <x:c r="H5" s="30" t="n">
        <x:v>20</x:v>
      </x:c>
      <x:c r="I5" s="31" t="n">
        <x:f>G5+H5</x:f>
        <x:v>120</x:v>
      </x:c>
    </x:row>
    <x:row r="6" ht="25" customHeight="1">
      <x:c r="A6" s="37" t="str">
        <x:v>FOUNDER-EX-002</x:v>
      </x:c>
      <x:c r="B6" s="38" t="str">
        <x:v>SUP-BETA</x:v>
      </x:c>
      <x:c r="C6" s="38" t="str">
        <x:v>INV-BETA-002</x:v>
      </x:c>
      <x:c r="D6" s="39" t="n">
        <x:v>46267</x:v>
      </x:c>
      <x:c r="E6" s="39" t="n">
        <x:v>46297</x:v>
      </x:c>
      <x:c r="F6" s="38" t="str">
        <x:v>EUR</x:v>
      </x:c>
      <x:c r="G6" s="40" t="n">
        <x:v>250</x:v>
      </x:c>
      <x:c r="H6" s="40" t="n">
        <x:v>50</x:v>
      </x:c>
      <x:c r="I6" s="41" t="n">
        <x:f>G6+H6</x:f>
        <x:v>300</x:v>
      </x:c>
    </x:row>
    <x:row r="7" ht="25" customHeight="1">
      <x:c r="A7" s="37" t="str">
        <x:v>FOUNDER-EX-003</x:v>
      </x:c>
      <x:c r="B7" s="38" t="str">
        <x:v>SUP-GAMMA</x:v>
      </x:c>
      <x:c r="C7" s="38" t="str">
        <x:v>INV-GAMMA-003</x:v>
      </x:c>
      <x:c r="D7" s="39" t="n">
        <x:v>46268</x:v>
      </x:c>
      <x:c r="E7" s="39" t="n">
        <x:v>46298</x:v>
      </x:c>
      <x:c r="F7" s="38" t="str">
        <x:v>EUR</x:v>
      </x:c>
      <x:c r="G7" s="40" t="n">
        <x:v>80</x:v>
      </x:c>
      <x:c r="H7" s="40" t="n">
        <x:v>16</x:v>
      </x:c>
      <x:c r="I7" s="41" t="n">
        <x:f>G7+H7</x:f>
        <x:v>96</x:v>
      </x:c>
    </x:row>
    <x:row r="8" ht="25" customHeight="1">
      <x:c r="A8" s="37" t="str">
        <x:v>FOUNDER-EX-004</x:v>
      </x:c>
      <x:c r="B8" s="38" t="str">
        <x:v>SUP-DELTA</x:v>
      </x:c>
      <x:c r="C8" s="38" t="str">
        <x:v>INV-DELTA-004</x:v>
      </x:c>
      <x:c r="D8" s="39" t="n">
        <x:v>46269</x:v>
      </x:c>
      <x:c r="E8" s="39" t="n">
        <x:v>46299</x:v>
      </x:c>
      <x:c r="F8" s="38" t="str">
        <x:v>EUR</x:v>
      </x:c>
      <x:c r="G8" s="40" t="n">
        <x:v>420</x:v>
      </x:c>
      <x:c r="H8" s="40" t="n">
        <x:v>84</x:v>
      </x:c>
      <x:c r="I8" s="41" t="n">
        <x:f>G8+H8</x:f>
        <x:v>504</x:v>
      </x:c>
    </x:row>
    <x:row r="9" ht="25" customHeight="1">
      <x:c r="A9" s="32" t="str">
        <x:v>FOUNDER-EX-005</x:v>
      </x:c>
      <x:c r="B9" s="33" t="str">
        <x:v>SUP-EPSILON</x:v>
      </x:c>
      <x:c r="C9" s="33" t="str">
        <x:v>INV-EPSILON-005</x:v>
      </x:c>
      <x:c r="D9" s="34" t="n">
        <x:v>46270</x:v>
      </x:c>
      <x:c r="E9" s="34" t="n">
        <x:v>46300</x:v>
      </x:c>
      <x:c r="F9" s="33" t="str">
        <x:v>EUR</x:v>
      </x:c>
      <x:c r="G9" s="35" t="n">
        <x:v>175</x:v>
      </x:c>
      <x:c r="H9" s="35" t="n">
        <x:v>35</x:v>
      </x:c>
      <x:c r="I9" s="36" t="n">
        <x:f>G9+H9</x:f>
        <x:v>210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3" t="str">
        <x:v>Invalid Total</x:v>
      </x:c>
    </x:row>
    <x:row r="2" ht="30" customHeight="1">
      <x:c r="A2" s="7" t="str">
        <x:v>Reference row matching 03-invalid-total.csv. Gross 121.00 is deliberately wrong; expected: immediate rejection.</x:v>
      </x:c>
    </x:row>
    <x:row r="4" ht="28" customHeight="1">
      <x:c r="A4" s="24" t="str">
        <x:v>job_id</x:v>
      </x:c>
      <x:c r="B4" s="24" t="str">
        <x:v>supplier_id</x:v>
      </x:c>
      <x:c r="C4" s="24" t="str">
        <x:v>invoice_number</x:v>
      </x:c>
      <x:c r="D4" s="24" t="str">
        <x:v>issue_date</x:v>
      </x:c>
      <x:c r="E4" s="24" t="str">
        <x:v>due_date</x:v>
      </x:c>
      <x:c r="F4" s="24" t="str">
        <x:v>currency</x:v>
      </x:c>
      <x:c r="G4" s="24" t="str">
        <x:v>net</x:v>
      </x:c>
      <x:c r="H4" s="24" t="str">
        <x:v>tax</x:v>
      </x:c>
      <x:c r="I4" s="24" t="str">
        <x:v>gross</x:v>
      </x:c>
    </x:row>
    <x:row r="5" ht="25" customHeight="1">
      <x:c r="A5" s="47" t="str">
        <x:v>FOUNDER-BAD-001</x:v>
      </x:c>
      <x:c r="B5" s="48" t="str">
        <x:v>SUP-INVALID</x:v>
      </x:c>
      <x:c r="C5" s="48" t="str">
        <x:v>INV-BAD-TOTAL</x:v>
      </x:c>
      <x:c r="D5" s="49" t="n">
        <x:v>46266</x:v>
      </x:c>
      <x:c r="E5" s="49" t="n">
        <x:v>46295</x:v>
      </x:c>
      <x:c r="F5" s="48" t="str">
        <x:v>EUR</x:v>
      </x:c>
      <x:c r="G5" s="50" t="n">
        <x:v>100</x:v>
      </x:c>
      <x:c r="H5" s="50" t="n">
        <x:v>20</x:v>
      </x:c>
      <x:c r="I5" s="52" t="n">
        <x:v>121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40" hidden="0" customWidth="1"/>
    <x:col min="4" max="4" width="36" hidden="0" customWidth="1"/>
    <x:col min="5" max="5" width="14" hidden="0" customWidth="1"/>
    <x:col min="6" max="6" width="34" hidden="0" customWidth="1"/>
  </x:cols>
  <x:sheetData>
    <x:row r="1" ht="36" customHeight="1">
      <x:c r="A1" s="3" t="str">
        <x:v>Founder Acceptance Checklist</x:v>
      </x:c>
    </x:row>
    <x:row r="2" ht="30" customHeight="1">
      <x:c r="A2" s="7" t="str">
        <x:v>Set Result to GO or NO-GO and record only sanitized evidence. Never paste credentials, cookies, access codes, API keys or full share tokens.</x:v>
      </x:c>
    </x:row>
    <x:row r="4">
      <x:c r="A4" s="9" t="str">
        <x:v>Overall</x:v>
      </x:c>
      <x:c r="B4" t="str">
        <x:f>IF(COUNTIF(E9:E20,"NO-GO")&gt;0,"NO-GO",IF(COUNTIF(E9:E20,"GO")=COUNTA(A9:A20),"GO","IN PROGRESS"))</x:f>
        <x:v>IN PROGRESS</x:v>
      </x:c>
    </x:row>
    <x:row r="5">
      <x:c r="A5" s="9" t="str">
        <x:v>Passed</x:v>
      </x:c>
      <x:c r="B5" t="n">
        <x:f>COUNTIF(E9:E20,"GO")</x:f>
        <x:v>0</x:v>
      </x:c>
    </x:row>
    <x:row r="6">
      <x:c r="A6" s="9" t="str">
        <x:v>Failed</x:v>
      </x:c>
      <x:c r="B6" t="n">
        <x:f>COUNTIF(E9:E20,"NO-GO")</x:f>
        <x:v>0</x:v>
      </x:c>
    </x:row>
    <x:row r="8" ht="30" customHeight="1">
      <x:c r="A8" s="23" t="str">
        <x:v>Gate</x:v>
      </x:c>
      <x:c r="B8" s="23" t="str">
        <x:v>Area</x:v>
      </x:c>
      <x:c r="C8" s="23" t="str">
        <x:v>Manual test</x:v>
      </x:c>
      <x:c r="D8" s="23" t="str">
        <x:v>Expected</x:v>
      </x:c>
      <x:c r="E8" s="23" t="str">
        <x:v>Result</x:v>
      </x:c>
      <x:c r="F8" s="23" t="str">
        <x:v>Sanitized evidence</x:v>
      </x:c>
    </x:row>
    <x:row r="9" ht="38" customHeight="1">
      <x:c r="A9" s="53" t="n">
        <x:v>1</x:v>
      </x:c>
      <x:c r="B9" s="54" t="str">
        <x:v>Landing</x:v>
      </x:c>
      <x:c r="C9" s="54" t="str">
        <x:v>Open landing and public sample logged out</x:v>
      </x:c>
      <x:c r="D9" s="54" t="str">
        <x:v>Synthetic 17/20; no auth required</x:v>
      </x:c>
      <x:c r="E9" s="54" t="str">
        <x:v>Not Run</x:v>
      </x:c>
      <x:c r="F9" s="17" t="str"/>
    </x:row>
    <x:row r="10" ht="38" customHeight="1">
      <x:c r="A10" s="55" t="n">
        <x:v>2</x:v>
      </x:c>
      <x:c r="B10" s="56" t="str">
        <x:v>Auth</x:v>
      </x:c>
      <x:c r="C10" s="56" t="str">
        <x:v>Login, reload, inspect identity</x:v>
      </x:c>
      <x:c r="D10" s="56" t="str">
        <x:v>Session and name persist</x:v>
      </x:c>
      <x:c r="E10" s="56" t="str">
        <x:v>Not Run</x:v>
      </x:c>
      <x:c r="F10" s="19" t="str"/>
    </x:row>
    <x:row r="11" ht="38" customHeight="1">
      <x:c r="A11" s="55" t="n">
        <x:v>3</x:v>
      </x:c>
      <x:c r="B11" s="56" t="str">
        <x:v>Import</x:v>
      </x:c>
      <x:c r="C11" s="56" t="str">
        <x:v>Upload 01-success CSV</x:v>
      </x:c>
      <x:c r="D11" s="56" t="str">
        <x:v>Validated preview: 2 rows</x:v>
      </x:c>
      <x:c r="E11" s="56" t="str">
        <x:v>Not Run</x:v>
      </x:c>
      <x:c r="F11" s="19" t="str"/>
    </x:row>
    <x:row r="12" ht="38" customHeight="1">
      <x:c r="A12" s="55" t="n">
        <x:v>4</x:v>
      </x:c>
      <x:c r="B12" s="56" t="str">
        <x:v>Fixture</x:v>
      </x:c>
      <x:c r="C12" s="56" t="str">
        <x:v>Run Safe Fixture</x:v>
      </x:c>
      <x:c r="D12" s="56" t="str">
        <x:v>2/2; /api/demo-runs only</x:v>
      </x:c>
      <x:c r="E12" s="56" t="str">
        <x:v>Not Run</x:v>
      </x:c>
      <x:c r="F12" s="19" t="str"/>
    </x:row>
    <x:row r="13" ht="38" customHeight="1">
      <x:c r="A13" s="55" t="n">
        <x:v>5</x:v>
      </x:c>
      <x:c r="B13" s="56" t="str">
        <x:v>Exceptions</x:v>
      </x:c>
      <x:c r="C13" s="56" t="str">
        <x:v>Upload/run 02-exceptions CSV</x:v>
      </x:c>
      <x:c r="D13" s="56" t="str">
        <x:v>3/5; mismatch + missing</x:v>
      </x:c>
      <x:c r="E13" s="56" t="str">
        <x:v>Not Run</x:v>
      </x:c>
      <x:c r="F13" s="19" t="str"/>
    </x:row>
    <x:row r="14" ht="38" customHeight="1">
      <x:c r="A14" s="55" t="n">
        <x:v>6</x:v>
      </x:c>
      <x:c r="B14" s="56" t="str">
        <x:v>Validation</x:v>
      </x:c>
      <x:c r="C14" s="56" t="str">
        <x:v>Upload invalid total CSV</x:v>
      </x:c>
      <x:c r="D14" s="56" t="str">
        <x:v>Immediate error; no run</x:v>
      </x:c>
      <x:c r="E14" s="56" t="str">
        <x:v>Not Run</x:v>
      </x:c>
      <x:c r="F14" s="19" t="str"/>
    </x:row>
    <x:row r="15" ht="38" customHeight="1">
      <x:c r="A15" s="55" t="n">
        <x:v>7</x:v>
      </x:c>
      <x:c r="B15" s="56" t="str">
        <x:v>Validation</x:v>
      </x:c>
      <x:c r="C15" s="56" t="str">
        <x:v>Upload missing-column CSV</x:v>
      </x:c>
      <x:c r="D15" s="56" t="str">
        <x:v>Immediate error; no run</x:v>
      </x:c>
      <x:c r="E15" s="56" t="str">
        <x:v>Not Run</x:v>
      </x:c>
      <x:c r="F15" s="19" t="str"/>
    </x:row>
    <x:row r="16" ht="38" customHeight="1">
      <x:c r="A16" s="55" t="n">
        <x:v>8</x:v>
      </x:c>
      <x:c r="B16" s="56" t="str">
        <x:v>Report</x:v>
      </x:c>
      <x:c r="C16" s="56" t="str">
        <x:v>Compare hero, filters, rows and JSON</x:v>
      </x:c>
      <x:c r="D16" s="56" t="str">
        <x:v>Same runId, mode and totals</x:v>
      </x:c>
      <x:c r="E16" s="56" t="str">
        <x:v>Not Run</x:v>
      </x:c>
      <x:c r="F16" s="19" t="str"/>
    </x:row>
    <x:row r="17" ht="38" customHeight="1">
      <x:c r="A17" s="55" t="n">
        <x:v>9</x:v>
      </x:c>
      <x:c r="B17" s="56" t="str">
        <x:v>Sharing</x:v>
      </x:c>
      <x:c r="C17" s="56" t="str">
        <x:v>Share, open logged out, revoke</x:v>
      </x:c>
      <x:c r="D17" s="56" t="str">
        <x:v>200 then unavailable</x:v>
      </x:c>
      <x:c r="E17" s="56" t="str">
        <x:v>Not Run</x:v>
      </x:c>
      <x:c r="F17" s="19" t="str"/>
    </x:row>
    <x:row r="18" ht="38" customHeight="1">
      <x:c r="A18" s="55" t="n">
        <x:v>10</x:v>
      </x:c>
      <x:c r="B18" s="56" t="str">
        <x:v>Deletion</x:v>
      </x:c>
      <x:c r="C18" s="56" t="str">
        <x:v>Delete a disposable fixture run</x:v>
      </x:c>
      <x:c r="D18" s="56" t="str">
        <x:v>Gone from report and history</x:v>
      </x:c>
      <x:c r="E18" s="56" t="str">
        <x:v>Not Run</x:v>
      </x:c>
      <x:c r="F18" s="19" t="str"/>
    </x:row>
    <x:row r="19" ht="38" customHeight="1">
      <x:c r="A19" s="55" t="n">
        <x:v>11</x:v>
      </x:c>
      <x:c r="B19" s="56" t="str">
        <x:v>Ownership</x:v>
      </x:c>
      <x:c r="C19" s="56" t="str">
        <x:v>Try run from second account</x:v>
      </x:c>
      <x:c r="D19" s="56" t="str">
        <x:v>404 and no mutation</x:v>
      </x:c>
      <x:c r="E19" s="56" t="str">
        <x:v>Not Run</x:v>
      </x:c>
      <x:c r="F19" s="19" t="str"/>
    </x:row>
    <x:row r="20" ht="38" customHeight="1">
      <x:c r="A20" s="57" t="n">
        <x:v>12</x:v>
      </x:c>
      <x:c r="B20" s="58" t="str">
        <x:v>Mobile/A11y</x:v>
      </x:c>
      <x:c r="C20" s="58" t="str">
        <x:v>Test 390 px and keyboard menu/dialog</x:v>
      </x:c>
      <x:c r="D20" s="58" t="str">
        <x:v>No overflow; correct focus</x:v>
      </x:c>
      <x:c r="E20" s="58" t="str">
        <x:v>Not Run</x:v>
      </x:c>
      <x:c r="F20" s="21" t="str"/>
    </x:row>
  </x:sheetData>
  <x:mergeCells>
    <x:mergeCell ref="A1:F1"/>
    <x:mergeCell ref="A2:F2"/>
  </x:mergeCells>
  <x:conditionalFormatting sqref="E9:E20">
    <x:cfRule type="containsText" dxfId="0" priority="1" operator="containsText" text="GO"/>
    <x:cfRule type="containsText" dxfId="1" priority="2" operator="containsText" text="NO-GO"/>
  </x:conditionalFormatting>
  <x:dataValidations count="1">
    <x:dataValidation type="list" sqref="E9:E20">
      <x:formula1>"Not Run,GO,NO-GO"</x:formula1>
    </x:dataValidation>
  </x:dataValidations>
  <x:pageMargins left="0.7" right="0.7" top="0.75" bottom="0.75" header="0.3" footer="0.3"/>
</x:worksheet>
</file>